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720"/>
  </bookViews>
  <sheets>
    <sheet name="Personal Monthly Budg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<sst xmlns="http://schemas.openxmlformats.org/spreadsheetml/2006/main" count="45" uniqueCount="44">
  <si>
    <t>Subtotal</t>
  </si>
  <si>
    <t>Create a Personal Monthly Budget in this worksheet. Helpful instructions on how to use this worksheet are in cells in this column. Arrow down to get started.</t>
  </si>
  <si>
    <t>Title of this worksheet is in cell at right. Next instruction is in cell A5.</t>
  </si>
  <si>
    <t>Enter details in Housing table starting in cell at right and in Entertainment table starting in cell G14. Next instruction is in cell A27.</t>
  </si>
  <si>
    <t xml:space="preserve">Office Expense:  </t>
  </si>
  <si>
    <t>Rent &amp; Electricity</t>
  </si>
  <si>
    <t>Miscellaneous Expenses</t>
  </si>
  <si>
    <t>Doctors Marketting Team: MR</t>
  </si>
  <si>
    <t>Customers Marketing:</t>
  </si>
  <si>
    <t>Pam</t>
  </si>
  <si>
    <t>Digital/Social Media Marketing</t>
  </si>
  <si>
    <t>Broadcasting &amp; Newspaper</t>
  </si>
  <si>
    <t>Projected Budget : Telangana</t>
  </si>
  <si>
    <t>One time Investment:</t>
  </si>
  <si>
    <t>AC</t>
  </si>
  <si>
    <t>Desktop</t>
  </si>
  <si>
    <t>Fans</t>
  </si>
  <si>
    <t>Chair</t>
  </si>
  <si>
    <t>Table</t>
  </si>
  <si>
    <t>Lights</t>
  </si>
  <si>
    <t>Curtuns</t>
  </si>
  <si>
    <t xml:space="preserve"> PROJECTED EXPENDITURE FOR TWO YEAR</t>
  </si>
  <si>
    <t xml:space="preserve">Phone &amp; Internet </t>
  </si>
  <si>
    <t xml:space="preserve">Furniture </t>
  </si>
  <si>
    <t>Receptionist and Housekeeping</t>
  </si>
  <si>
    <t>Staff Salaries [40] (4 Months)</t>
  </si>
  <si>
    <t>Permanent Staff Salaries [10]</t>
  </si>
  <si>
    <t>Travelling and Training Expenses (4 Months)</t>
  </si>
  <si>
    <t>Miscellaneous Expenses (Follow-up Training)</t>
  </si>
  <si>
    <t>Office Deposite</t>
  </si>
  <si>
    <t xml:space="preserve">                     PROJECTED BIENNIAL COST</t>
  </si>
  <si>
    <t xml:space="preserve"> UNIT MONTHLY COST</t>
  </si>
  <si>
    <t>Outsource Tech Suppourt:</t>
  </si>
  <si>
    <t>Infrastrcuture Suppourt (3)</t>
  </si>
  <si>
    <r>
      <rPr>
        <sz val="12"/>
        <rFont val="Lucida Sans"/>
        <family val="2"/>
        <scheme val="minor"/>
      </rPr>
      <t>Development</t>
    </r>
    <r>
      <rPr>
        <b/>
        <sz val="12"/>
        <color rgb="FFFF0000"/>
        <rFont val="Lucida Sans"/>
        <family val="2"/>
        <scheme val="minor"/>
      </rPr>
      <t xml:space="preserve"> </t>
    </r>
    <r>
      <rPr>
        <sz val="12"/>
        <rFont val="Lucida Sans"/>
        <family val="2"/>
        <scheme val="minor"/>
      </rPr>
      <t>Team (3)</t>
    </r>
  </si>
  <si>
    <r>
      <rPr>
        <sz val="12"/>
        <rFont val="Lucida Sans"/>
        <family val="2"/>
        <scheme val="minor"/>
      </rPr>
      <t>Customers</t>
    </r>
    <r>
      <rPr>
        <b/>
        <sz val="12"/>
        <color rgb="FFFF0000"/>
        <rFont val="Lucida Sans"/>
        <family val="2"/>
        <scheme val="minor"/>
      </rPr>
      <t xml:space="preserve"> </t>
    </r>
    <r>
      <rPr>
        <sz val="12"/>
        <rFont val="Lucida Sans"/>
        <family val="2"/>
        <scheme val="minor"/>
      </rPr>
      <t>Suppourt (5)</t>
    </r>
  </si>
  <si>
    <t>Digital Marketer (2)</t>
  </si>
  <si>
    <t>Staff Salaries (Salesman)</t>
  </si>
  <si>
    <t>Hoarding Adverts (10)</t>
  </si>
  <si>
    <t>Founder Salaries</t>
  </si>
  <si>
    <t>Founder Salary</t>
  </si>
  <si>
    <t>Co-founder 1 Salary</t>
  </si>
  <si>
    <t>Co-founder 2 Salary</t>
  </si>
  <si>
    <t>Medical Shop Tie-ups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</si>
</sst>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###\-####;\(###\)\ ###\-####"/>
    <numFmt numFmtId="165" formatCode="&quot;₹&quot;\ #,##0.00"/>
  </numFmts>
  <fonts count="17" x14ac:knownFonts="1">
    <font>
      <sz val="10"/>
      <color theme="1" tint="0.24994659260841701"/>
      <name val="Lucida Sans"/>
      <family val="2"/>
      <scheme val="minor"/>
    </font>
    <font>
      <sz val="11"/>
      <color theme="1"/>
      <name val="Lucida Sans"/>
      <family val="2"/>
      <scheme val="minor"/>
    </font>
    <font>
      <sz val="10"/>
      <color theme="1" tint="0.24994659260841701"/>
      <name val="Rockwell"/>
      <family val="2"/>
      <scheme val="major"/>
    </font>
    <font>
      <b/>
      <sz val="10"/>
      <color theme="1" tint="0.24994659260841701"/>
      <name val="Rockwell"/>
      <family val="2"/>
      <scheme val="major"/>
    </font>
    <font>
      <sz val="22"/>
      <color theme="3" tint="0.24994659260841701"/>
      <name val="Rockwell"/>
      <family val="2"/>
      <scheme val="major"/>
    </font>
    <font>
      <sz val="11"/>
      <color theme="0"/>
      <name val="Lucida Sans"/>
      <family val="2"/>
      <scheme val="minor"/>
    </font>
    <font>
      <sz val="10"/>
      <color theme="0"/>
      <name val="Lucida Sans"/>
      <family val="2"/>
      <scheme val="minor"/>
    </font>
    <font>
      <sz val="11"/>
      <color theme="4" tint="-0.499984740745262"/>
      <name val="Lucida Sans"/>
      <family val="2"/>
      <scheme val="minor"/>
    </font>
    <font>
      <sz val="12"/>
      <color theme="1" tint="0.24994659260841701"/>
      <name val="Lucida Sans"/>
      <family val="2"/>
      <scheme val="minor"/>
    </font>
    <font>
      <sz val="12"/>
      <color theme="1" tint="0.24994659260841701"/>
      <name val="Rockwell"/>
      <family val="1"/>
      <scheme val="major"/>
    </font>
    <font>
      <b/>
      <sz val="12"/>
      <color theme="1" tint="0.24994659260841701"/>
      <name val="Lucida Sans"/>
      <family val="2"/>
      <scheme val="minor"/>
    </font>
    <font>
      <b/>
      <sz val="12"/>
      <color theme="9"/>
      <name val="Lucida Sans"/>
      <family val="2"/>
      <scheme val="minor"/>
    </font>
    <font>
      <sz val="36"/>
      <color theme="1"/>
      <name val="Rockwell"/>
      <family val="1"/>
      <scheme val="major"/>
    </font>
    <font>
      <b/>
      <sz val="12"/>
      <color rgb="FFC00000"/>
      <name val="Lucida Sans"/>
      <family val="2"/>
      <scheme val="minor"/>
    </font>
    <font>
      <sz val="12"/>
      <name val="Lucida Sans"/>
      <family val="2"/>
      <scheme val="minor"/>
    </font>
    <font>
      <b/>
      <sz val="12"/>
      <color rgb="FFFF0000"/>
      <name val="Lucida Sans"/>
      <family val="2"/>
      <scheme val="minor"/>
    </font>
    <font>
      <sz val="12"/>
      <color theme="1"/>
      <name val="Lucida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0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1" fillId="2" borderId="0" xfId="0" applyFont="1" applyFill="1"/>
    <xf numFmtId="0" fontId="12" fillId="2" borderId="0" xfId="1" applyFont="1" applyFill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6">
    <cellStyle name="Date" xfId="5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</font>
    </dxf>
    <dxf>
      <font>
        <strike val="0"/>
        <outline val="0"/>
        <shadow val="0"/>
        <u val="none"/>
        <vertAlign val="baseline"/>
        <sz val="12"/>
        <color theme="1" tint="0.2499465926084170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general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border>
        <top style="thin">
          <color theme="6" tint="-0.499984740745262"/>
        </top>
      </border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</dxfs>
  <tableStyles count="2" defaultTableStyle="TableStyleLight9" defaultPivotStyle="PivotStyleLight16">
    <tableStyle name="Address Book" pivot="0" count="5">
      <tableStyleElement type="wholeTable" dxfId="20"/>
      <tableStyleElement type="headerRow" dxfId="19"/>
      <tableStyleElement type="totalRow" dxfId="18"/>
      <tableStyleElement type="firstRowStripe" dxfId="17"/>
      <tableStyleElement type="secondRowStripe" dxfId="16"/>
    </tableStyle>
    <tableStyle name="Personal monthly budget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2004060</xdr:colOff>
      <xdr:row>0</xdr:row>
      <xdr:rowOff>0</xdr:rowOff>
    </xdr:from>
    <xdr:to>
      <xdr:col>3</xdr:col>
      <xdr:colOff>3291840</xdr:colOff>
      <xdr:row>3</xdr:row>
      <xdr:rowOff>45720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0"/>
          <a:ext cx="1287780" cy="1287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Housing" displayName="Housing" ref="B5:D45" totalsRowCount="1" headerRowDxfId="8" dataDxfId="7" totalsRowDxfId="6">
  <autoFilter ref="B5:D44">
    <filterColumn colId="0" hiddenButton="1"/>
    <filterColumn colId="2" hiddenButton="1"/>
  </autoFilter>
  <tableColumns count="3">
    <tableColumn id="1" name=" PROJECTED EXPENDITURE FOR TWO YEAR" totalsRowLabel="Subtotal" dataDxfId="5" totalsRowDxfId="2"/>
    <tableColumn id="3" name=" UNIT MONTHLY COST" dataDxfId="4" totalsRowDxfId="1"/>
    <tableColumn id="2" name="                     PROJECTED BIENNIAL COST" totalsRowFunction="sum" dataDxfId="3" totalsRowDxfId="0"/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 fitToPage="1"/>
  </sheetPr>
  <dimension ref="A1:E59"/>
  <sheetViews>
    <sheetView showGridLines="0" tabSelected="1" topLeftCell="A30" zoomScaleNormal="100" workbookViewId="0">
      <selection activeCell="B33" sqref="B33"/>
    </sheetView>
  </sheetViews>
  <sheetFormatPr defaultRowHeight="13.2" x14ac:dyDescent="0.25"/>
  <cols>
    <col min="1" max="1" width="2.6328125" style="3" customWidth="1"/>
    <col min="2" max="2" width="55" customWidth="1"/>
    <col min="3" max="3" width="25.1796875" customWidth="1"/>
    <col min="4" max="4" width="41.26953125" customWidth="1"/>
  </cols>
  <sheetData>
    <row r="1" spans="1:4" s="1" customFormat="1" ht="13.8" x14ac:dyDescent="0.25">
      <c r="A1" s="2" t="s">
        <v>1</v>
      </c>
    </row>
    <row r="2" spans="1:4" s="1" customFormat="1" ht="71.25" customHeight="1" x14ac:dyDescent="0.25">
      <c r="A2" s="5" t="s">
        <v>2</v>
      </c>
      <c r="B2" s="9" t="s">
        <v>12</v>
      </c>
      <c r="C2" s="9"/>
      <c r="D2" s="8"/>
    </row>
    <row r="5" spans="1:4" ht="24.9" customHeight="1" x14ac:dyDescent="0.25">
      <c r="A5" s="3" t="s">
        <v>3</v>
      </c>
      <c r="B5" s="11" t="s">
        <v>21</v>
      </c>
      <c r="C5" s="10" t="s">
        <v>31</v>
      </c>
      <c r="D5" s="12" t="s">
        <v>30</v>
      </c>
    </row>
    <row r="6" spans="1:4" ht="24.9" customHeight="1" x14ac:dyDescent="0.25">
      <c r="B6" s="13" t="s">
        <v>4</v>
      </c>
      <c r="C6" s="14"/>
      <c r="D6" s="15"/>
    </row>
    <row r="7" spans="1:4" ht="24.9" customHeight="1" x14ac:dyDescent="0.25">
      <c r="B7" s="16" t="s">
        <v>22</v>
      </c>
      <c r="C7" s="17">
        <v>5000</v>
      </c>
      <c r="D7" s="17">
        <v>120000</v>
      </c>
    </row>
    <row r="8" spans="1:4" ht="24.9" customHeight="1" x14ac:dyDescent="0.25">
      <c r="B8" s="16" t="s">
        <v>5</v>
      </c>
      <c r="C8" s="17">
        <v>40000</v>
      </c>
      <c r="D8" s="17">
        <v>960000</v>
      </c>
    </row>
    <row r="9" spans="1:4" ht="24.9" customHeight="1" x14ac:dyDescent="0.25">
      <c r="B9" s="16" t="s">
        <v>29</v>
      </c>
      <c r="C9" s="17">
        <v>100000</v>
      </c>
      <c r="D9" s="17">
        <v>100000</v>
      </c>
    </row>
    <row r="10" spans="1:4" ht="24.9" customHeight="1" x14ac:dyDescent="0.25">
      <c r="B10" s="16" t="s">
        <v>24</v>
      </c>
      <c r="C10" s="17">
        <v>110000</v>
      </c>
      <c r="D10" s="17">
        <v>264000</v>
      </c>
    </row>
    <row r="11" spans="1:4" ht="24.9" customHeight="1" x14ac:dyDescent="0.25">
      <c r="B11" s="18" t="s">
        <v>13</v>
      </c>
      <c r="C11" s="19"/>
      <c r="D11" s="15"/>
    </row>
    <row r="12" spans="1:4" ht="24.9" customHeight="1" x14ac:dyDescent="0.25">
      <c r="B12" s="16" t="s">
        <v>23</v>
      </c>
      <c r="C12" s="17">
        <v>31000</v>
      </c>
      <c r="D12" s="17">
        <v>31000</v>
      </c>
    </row>
    <row r="13" spans="1:4" ht="24.9" customHeight="1" x14ac:dyDescent="0.25">
      <c r="B13" s="16" t="s">
        <v>14</v>
      </c>
      <c r="C13" s="17">
        <v>35000</v>
      </c>
      <c r="D13" s="17">
        <v>35000</v>
      </c>
    </row>
    <row r="14" spans="1:4" ht="24.9" customHeight="1" x14ac:dyDescent="0.25">
      <c r="B14" s="16" t="s">
        <v>15</v>
      </c>
      <c r="C14" s="10">
        <v>30000</v>
      </c>
      <c r="D14" s="17">
        <v>30000</v>
      </c>
    </row>
    <row r="15" spans="1:4" ht="24.9" customHeight="1" x14ac:dyDescent="0.25">
      <c r="B15" s="16" t="s">
        <v>16</v>
      </c>
      <c r="C15" s="17">
        <v>8000</v>
      </c>
      <c r="D15" s="17">
        <v>8000</v>
      </c>
    </row>
    <row r="16" spans="1:4" ht="24.9" customHeight="1" x14ac:dyDescent="0.25">
      <c r="B16" s="16" t="s">
        <v>17</v>
      </c>
      <c r="C16" s="17">
        <v>20000</v>
      </c>
      <c r="D16" s="17">
        <v>20000</v>
      </c>
    </row>
    <row r="17" spans="1:5" ht="24.9" customHeight="1" x14ac:dyDescent="0.25">
      <c r="B17" s="16" t="s">
        <v>19</v>
      </c>
      <c r="C17" s="17">
        <v>5000</v>
      </c>
      <c r="D17" s="17">
        <v>3000</v>
      </c>
    </row>
    <row r="18" spans="1:5" ht="24.9" customHeight="1" x14ac:dyDescent="0.25">
      <c r="B18" s="16" t="s">
        <v>20</v>
      </c>
      <c r="C18" s="17">
        <v>2000</v>
      </c>
      <c r="D18" s="17">
        <v>2000</v>
      </c>
    </row>
    <row r="19" spans="1:5" ht="24.9" customHeight="1" x14ac:dyDescent="0.25">
      <c r="B19" s="16" t="s">
        <v>18</v>
      </c>
      <c r="C19" s="17">
        <v>15000</v>
      </c>
      <c r="D19" s="17">
        <v>15000</v>
      </c>
    </row>
    <row r="20" spans="1:5" ht="24.9" customHeight="1" x14ac:dyDescent="0.25">
      <c r="B20" s="16" t="s">
        <v>6</v>
      </c>
      <c r="C20" s="17">
        <v>10000</v>
      </c>
      <c r="D20" s="17">
        <v>10000</v>
      </c>
    </row>
    <row r="21" spans="1:5" ht="24.9" customHeight="1" x14ac:dyDescent="0.25">
      <c r="B21" s="13" t="s">
        <v>7</v>
      </c>
      <c r="C21" s="20"/>
      <c r="D21" s="15"/>
    </row>
    <row r="22" spans="1:5" ht="24.9" customHeight="1" x14ac:dyDescent="0.25">
      <c r="B22" s="16" t="s">
        <v>25</v>
      </c>
      <c r="C22" s="17">
        <v>1000000</v>
      </c>
      <c r="D22" s="17">
        <v>4000000</v>
      </c>
    </row>
    <row r="23" spans="1:5" ht="24.9" customHeight="1" x14ac:dyDescent="0.25">
      <c r="A23" s="3">
        <v>10</v>
      </c>
      <c r="B23" s="16" t="s">
        <v>26</v>
      </c>
      <c r="C23" s="17">
        <v>20000</v>
      </c>
      <c r="D23" s="17">
        <v>4800000</v>
      </c>
      <c r="E23" s="4"/>
    </row>
    <row r="24" spans="1:5" ht="24.9" customHeight="1" x14ac:dyDescent="0.25">
      <c r="B24" s="16" t="s">
        <v>27</v>
      </c>
      <c r="C24" s="17">
        <v>100000</v>
      </c>
      <c r="D24" s="17">
        <v>400000</v>
      </c>
      <c r="E24" s="4"/>
    </row>
    <row r="25" spans="1:5" ht="24.9" customHeight="1" x14ac:dyDescent="0.25">
      <c r="B25" s="16" t="s">
        <v>28</v>
      </c>
      <c r="C25" s="17">
        <v>30000</v>
      </c>
      <c r="D25" s="17">
        <v>720000</v>
      </c>
      <c r="E25" s="4"/>
    </row>
    <row r="26" spans="1:5" ht="24.9" customHeight="1" x14ac:dyDescent="0.25">
      <c r="B26" s="16"/>
      <c r="C26" s="17"/>
      <c r="D26" s="17"/>
      <c r="E26" s="4"/>
    </row>
    <row r="27" spans="1:5" ht="24.9" customHeight="1" x14ac:dyDescent="0.25">
      <c r="B27" s="13" t="s">
        <v>8</v>
      </c>
      <c r="C27" s="20"/>
      <c r="D27" s="17"/>
      <c r="E27" s="4"/>
    </row>
    <row r="28" spans="1:5" ht="24.9" customHeight="1" x14ac:dyDescent="0.25">
      <c r="B28" s="16" t="s">
        <v>36</v>
      </c>
      <c r="C28" s="17">
        <v>40000</v>
      </c>
      <c r="D28" s="17">
        <v>960000</v>
      </c>
      <c r="E28" s="4"/>
    </row>
    <row r="29" spans="1:5" ht="24.9" customHeight="1" x14ac:dyDescent="0.25">
      <c r="B29" s="16" t="s">
        <v>37</v>
      </c>
      <c r="C29" s="17">
        <v>360000</v>
      </c>
      <c r="D29" s="17">
        <v>8640000</v>
      </c>
      <c r="E29" s="4"/>
    </row>
    <row r="30" spans="1:5" ht="24.9" customHeight="1" x14ac:dyDescent="0.25">
      <c r="A30" s="3" t="s">
        <v>9</v>
      </c>
      <c r="B30" s="16" t="s">
        <v>38</v>
      </c>
      <c r="C30" s="17">
        <v>250000</v>
      </c>
      <c r="D30" s="17">
        <v>6000000</v>
      </c>
      <c r="E30" s="4"/>
    </row>
    <row r="31" spans="1:5" ht="24.9" customHeight="1" x14ac:dyDescent="0.25">
      <c r="B31" s="16" t="s">
        <v>10</v>
      </c>
      <c r="C31" s="17">
        <v>100000</v>
      </c>
      <c r="D31" s="17">
        <v>2400000</v>
      </c>
      <c r="E31" s="4"/>
    </row>
    <row r="32" spans="1:5" ht="24.9" customHeight="1" x14ac:dyDescent="0.25">
      <c r="B32" s="16" t="s">
        <v>11</v>
      </c>
      <c r="C32" s="17">
        <v>200000</v>
      </c>
      <c r="D32" s="17">
        <v>4800000</v>
      </c>
      <c r="E32" s="4"/>
    </row>
    <row r="33" spans="2:5" ht="24.9" customHeight="1" x14ac:dyDescent="0.25">
      <c r="B33" s="16" t="s">
        <v>43</v>
      </c>
      <c r="C33" s="17"/>
      <c r="D33" s="17"/>
      <c r="E33" s="4"/>
    </row>
    <row r="34" spans="2:5" ht="24.9" customHeight="1" x14ac:dyDescent="0.25">
      <c r="B34" s="16" t="s">
        <v>6</v>
      </c>
      <c r="C34" s="17"/>
      <c r="D34" s="17"/>
      <c r="E34" s="4"/>
    </row>
    <row r="35" spans="2:5" ht="24.9" customHeight="1" x14ac:dyDescent="0.25">
      <c r="B35" s="21" t="s">
        <v>32</v>
      </c>
      <c r="C35" s="17"/>
      <c r="D35" s="17"/>
      <c r="E35" s="4"/>
    </row>
    <row r="36" spans="2:5" ht="24.9" customHeight="1" x14ac:dyDescent="0.25">
      <c r="B36" s="21" t="s">
        <v>35</v>
      </c>
      <c r="C36" s="17">
        <v>60000</v>
      </c>
      <c r="D36" s="17">
        <v>1440000</v>
      </c>
      <c r="E36" s="4"/>
    </row>
    <row r="37" spans="2:5" ht="24.9" customHeight="1" x14ac:dyDescent="0.25">
      <c r="B37" s="21" t="s">
        <v>34</v>
      </c>
      <c r="C37" s="17">
        <v>105000</v>
      </c>
      <c r="D37" s="17">
        <v>2520000</v>
      </c>
      <c r="E37" s="4"/>
    </row>
    <row r="38" spans="2:5" ht="24.9" customHeight="1" x14ac:dyDescent="0.25">
      <c r="B38" s="22" t="s">
        <v>33</v>
      </c>
      <c r="C38" s="17">
        <v>75000</v>
      </c>
      <c r="D38" s="17">
        <v>1800000</v>
      </c>
      <c r="E38" s="4"/>
    </row>
    <row r="39" spans="2:5" ht="24.9" customHeight="1" x14ac:dyDescent="0.25">
      <c r="B39" s="21" t="s">
        <v>39</v>
      </c>
      <c r="C39" s="17"/>
      <c r="D39" s="17"/>
      <c r="E39" s="4"/>
    </row>
    <row r="40" spans="2:5" ht="24.9" customHeight="1" x14ac:dyDescent="0.25">
      <c r="B40" s="23" t="s">
        <v>40</v>
      </c>
      <c r="C40" s="17">
        <v>200000</v>
      </c>
      <c r="D40" s="17">
        <v>4800000</v>
      </c>
      <c r="E40" s="4"/>
    </row>
    <row r="41" spans="2:5" ht="24.9" customHeight="1" x14ac:dyDescent="0.25">
      <c r="B41" s="23" t="s">
        <v>41</v>
      </c>
      <c r="C41" s="17">
        <v>100000</v>
      </c>
      <c r="D41" s="17">
        <v>2400000</v>
      </c>
      <c r="E41" s="4"/>
    </row>
    <row r="42" spans="2:5" ht="24.9" customHeight="1" x14ac:dyDescent="0.25">
      <c r="B42" s="23" t="s">
        <v>42</v>
      </c>
      <c r="C42" s="17">
        <v>100000</v>
      </c>
      <c r="D42" s="17">
        <v>2400000</v>
      </c>
      <c r="E42" s="4"/>
    </row>
    <row r="43" spans="2:5" ht="24.9" customHeight="1" x14ac:dyDescent="0.25">
      <c r="B43" s="21"/>
      <c r="C43" s="17"/>
      <c r="D43" s="17"/>
      <c r="E43" s="4"/>
    </row>
    <row r="44" spans="2:5" ht="24.9" customHeight="1" x14ac:dyDescent="0.25">
      <c r="B44" s="21"/>
      <c r="C44" s="17"/>
      <c r="D44" s="17"/>
      <c r="E44" s="4"/>
    </row>
    <row r="45" spans="2:5" ht="24.9" customHeight="1" x14ac:dyDescent="0.25">
      <c r="B45" s="6" t="s">
        <v>0</v>
      </c>
      <c r="C45" s="6"/>
      <c r="D45" s="7">
        <f>SUBTOTAL(109,Housing[[                     PROJECTED BIENNIAL COST]])</f>
        <v>49678000</v>
      </c>
      <c r="E45" s="4"/>
    </row>
    <row r="46" spans="2:5" ht="24.9" customHeight="1" x14ac:dyDescent="0.25">
      <c r="E46" s="4"/>
    </row>
    <row r="47" spans="2:5" ht="24.9" customHeight="1" x14ac:dyDescent="0.25">
      <c r="E47" s="4"/>
    </row>
    <row r="48" spans="2:5" ht="24.9" customHeight="1" x14ac:dyDescent="0.25">
      <c r="E48" s="4"/>
    </row>
    <row r="49" spans="5:5" ht="24.9" customHeight="1" x14ac:dyDescent="0.25">
      <c r="E49" s="4"/>
    </row>
    <row r="50" spans="5:5" ht="24.9" customHeight="1" x14ac:dyDescent="0.25">
      <c r="E50" s="4"/>
    </row>
    <row r="51" spans="5:5" ht="24.9" customHeight="1" x14ac:dyDescent="0.25">
      <c r="E51" s="4"/>
    </row>
    <row r="52" spans="5:5" ht="24.9" customHeight="1" x14ac:dyDescent="0.25">
      <c r="E52" s="4"/>
    </row>
    <row r="53" spans="5:5" ht="24.9" customHeight="1" x14ac:dyDescent="0.25">
      <c r="E53" s="4"/>
    </row>
    <row r="54" spans="5:5" ht="24.9" customHeight="1" x14ac:dyDescent="0.25">
      <c r="E54" s="4"/>
    </row>
    <row r="55" spans="5:5" ht="24.9" customHeight="1" x14ac:dyDescent="0.25">
      <c r="E55" s="4"/>
    </row>
    <row r="56" spans="5:5" ht="24.9" customHeight="1" x14ac:dyDescent="0.25">
      <c r="E56" s="4"/>
    </row>
    <row r="57" spans="5:5" ht="24.9" customHeight="1" x14ac:dyDescent="0.25">
      <c r="E57" s="4"/>
    </row>
    <row r="58" spans="5:5" ht="24.9" customHeight="1" x14ac:dyDescent="0.25">
      <c r="E58" s="4"/>
    </row>
    <row r="59" spans="5:5" ht="24.9" customHeight="1" x14ac:dyDescent="0.25">
      <c r="E59" s="4"/>
    </row>
  </sheetData>
  <dataValidations count="3">
    <dataValidation allowBlank="1" showInputMessage="1" showErrorMessage="1" prompt="Create a Personal Monthly Budget in this worksheet. Helpful instructions on how to use this worksheet are in cells in this column. Arrow down to get started." sqref="A1"/>
    <dataValidation allowBlank="1" showInputMessage="1" showErrorMessage="1" prompt="Title of this worksheet is in cell C2. Next instruction is in cell A4." sqref="A2"/>
    <dataValidation allowBlank="1" showInputMessage="1" showErrorMessage="1" prompt="Enter details in Housing table starting in cell at right and in Entertainment table starting in cell G14. Next instruction is in cell A27." sqref="A5"/>
  </dataValidations>
  <printOptions horizontalCentered="1"/>
  <pageMargins left="0.4" right="0.4" top="0.4" bottom="0.4" header="0.3" footer="0.3"/>
  <pageSetup scale="81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B46AF36-0E29-43D5-9042-907F679B3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D6369F-E7E4-4C61-9F47-33FFE80F8E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E4917D-B4E2-41EC-A344-CAB929C318ED}">
  <ds:schemaRefs>
    <ds:schemaRef ds:uri="http://www.w3.org/XML/1998/namespace"/>
    <ds:schemaRef ds:uri="16c05727-aa75-4e4a-9b5f-8a80a1165891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1af3243-3dd4-4a8d-8c0d-dd76da1f02a5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2019-03-18T20:41:36Z</dcterms:created>
  <dcterms:modified xsi:type="dcterms:W3CDTF">2020-10-20T11:37:08Z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